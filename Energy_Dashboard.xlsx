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shy\Downloads\"/>
    </mc:Choice>
  </mc:AlternateContent>
  <xr:revisionPtr revIDLastSave="0" documentId="13_ncr:1_{34459E54-D192-4EE6-BFB7-DC860383F45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a" sheetId="1" r:id="rId1"/>
    <sheet name="Analysis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B32" i="2"/>
  <c r="B31" i="2"/>
  <c r="B30" i="2"/>
  <c r="B29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M9" i="2"/>
  <c r="L9" i="2"/>
  <c r="K9" i="2"/>
  <c r="J9" i="2"/>
  <c r="I9" i="2"/>
  <c r="H9" i="2"/>
  <c r="G9" i="2"/>
  <c r="F9" i="2"/>
  <c r="E9" i="2"/>
  <c r="D9" i="2"/>
  <c r="C9" i="2"/>
  <c r="B9" i="2"/>
  <c r="A9" i="2"/>
  <c r="M8" i="2"/>
  <c r="L8" i="2"/>
  <c r="K8" i="2"/>
  <c r="J8" i="2"/>
  <c r="I8" i="2"/>
  <c r="H8" i="2"/>
  <c r="G8" i="2"/>
  <c r="F8" i="2"/>
  <c r="E8" i="2"/>
  <c r="D8" i="2"/>
  <c r="C8" i="2"/>
  <c r="B8" i="2"/>
  <c r="A8" i="2"/>
  <c r="M7" i="2"/>
  <c r="L7" i="2"/>
  <c r="K7" i="2"/>
  <c r="J7" i="2"/>
  <c r="I7" i="2"/>
  <c r="H7" i="2"/>
  <c r="G7" i="2"/>
  <c r="F7" i="2"/>
  <c r="E7" i="2"/>
  <c r="D7" i="2"/>
  <c r="C7" i="2"/>
  <c r="B7" i="2"/>
  <c r="A7" i="2"/>
  <c r="M6" i="2"/>
  <c r="L6" i="2"/>
  <c r="K6" i="2"/>
  <c r="J6" i="2"/>
  <c r="I6" i="2"/>
  <c r="H6" i="2"/>
  <c r="G6" i="2"/>
  <c r="F6" i="2"/>
  <c r="E6" i="2"/>
  <c r="D6" i="2"/>
  <c r="C6" i="2"/>
  <c r="B6" i="2"/>
  <c r="A6" i="2"/>
  <c r="I5" i="2"/>
  <c r="H5" i="2"/>
  <c r="G5" i="2"/>
  <c r="F5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<sst xmlns="http://schemas.openxmlformats.org/spreadsheetml/2006/main" count="34" uniqueCount="32">
  <si>
    <t>DEWA Energy Consumption Data (2008-2025)</t>
  </si>
  <si>
    <t>Source: Dubai Statistics Center / DEWA, via data.dubai</t>
  </si>
  <si>
    <t>Year</t>
  </si>
  <si>
    <t>Comm_Energy_GWh</t>
  </si>
  <si>
    <t>Comm_Customers</t>
  </si>
  <si>
    <t>Ind_Energy_GWh</t>
  </si>
  <si>
    <t>Ind_Customers</t>
  </si>
  <si>
    <t>Other_Energy_GWh</t>
  </si>
  <si>
    <t>Other_Customers</t>
  </si>
  <si>
    <t>PowerStation_Aux_GWh</t>
  </si>
  <si>
    <t>Resi_Energy_GWh</t>
  </si>
  <si>
    <t>Resi_Customers</t>
  </si>
  <si>
    <t>Total_Requirement_GWh</t>
  </si>
  <si>
    <t>Energy Consumption Analysis</t>
  </si>
  <si>
    <t>All figures computed live from the Data sheet via formulas</t>
  </si>
  <si>
    <t>Resi_kWh_per_Customer</t>
  </si>
  <si>
    <t>Comm_kWh_per_Customer</t>
  </si>
  <si>
    <t>Ind_kWh_per_Customer</t>
  </si>
  <si>
    <t>Other_kWh_per_Customer</t>
  </si>
  <si>
    <t>Resi_Share_%</t>
  </si>
  <si>
    <t>Comm_Share_%</t>
  </si>
  <si>
    <t>Ind_Share_%</t>
  </si>
  <si>
    <t>Other_Share_%</t>
  </si>
  <si>
    <t>Resi_YoY_%</t>
  </si>
  <si>
    <t>Comm_YoY_%</t>
  </si>
  <si>
    <t>Ind_YoY_%</t>
  </si>
  <si>
    <t>Other_YoY_%</t>
  </si>
  <si>
    <t>Demand Forecast (Linear Trend)</t>
  </si>
  <si>
    <t>Trend fit on Total Energy Requirement 2008-2025; directional estimate only</t>
  </si>
  <si>
    <t>Forecast_Total_GWh</t>
  </si>
  <si>
    <t>Dubai Energy Consumption — Key Charts</t>
  </si>
  <si>
    <t>Link To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</si>
</sst>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3"/>
      <name val="Arial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1"/>
  </cellXfs>
  <cellStyles count="2">
    <cellStyle name="Hyperlink" xfId="1" builtinId="8"/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666666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Sector Share of Total Energy Consumption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percentStacked"/>
        <c:varyColors val="1"/>
        <c:ser>
          <c:idx val="0"/>
          <c:order val="0"/>
          <c:tx>
            <c:strRef>
              <c:f>Analysis!$F$4</c:f>
              <c:strCache>
                <c:ptCount val="1"/>
                <c:pt idx="0">
                  <c:v>Resi_Share_%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Analysis!$F$5:$F$22</c:f>
              <c:numCache>
                <c:formatCode>0.0%</c:formatCode>
                <c:ptCount val="18"/>
                <c:pt idx="0">
                  <c:v>0.29689961334669912</c:v>
                </c:pt>
                <c:pt idx="1">
                  <c:v>0.29248735693372374</c:v>
                </c:pt>
                <c:pt idx="2">
                  <c:v>0.28370864182359989</c:v>
                </c:pt>
                <c:pt idx="3">
                  <c:v>0.27783748283479609</c:v>
                </c:pt>
                <c:pt idx="4">
                  <c:v>0.27943856052841359</c:v>
                </c:pt>
                <c:pt idx="5">
                  <c:v>0.27767980159823641</c:v>
                </c:pt>
                <c:pt idx="6">
                  <c:v>0.28205128205128205</c:v>
                </c:pt>
                <c:pt idx="7">
                  <c:v>0.28777614138438878</c:v>
                </c:pt>
                <c:pt idx="8">
                  <c:v>0.2852221345008254</c:v>
                </c:pt>
                <c:pt idx="9">
                  <c:v>0.29227676633848826</c:v>
                </c:pt>
                <c:pt idx="10">
                  <c:v>0.31857432911763989</c:v>
                </c:pt>
                <c:pt idx="11">
                  <c:v>0.31583247230698991</c:v>
                </c:pt>
                <c:pt idx="12">
                  <c:v>0.34382602285293035</c:v>
                </c:pt>
                <c:pt idx="13">
                  <c:v>0.33011801835841131</c:v>
                </c:pt>
                <c:pt idx="14">
                  <c:v>0.32769600167032048</c:v>
                </c:pt>
                <c:pt idx="15">
                  <c:v>0.32683851550743614</c:v>
                </c:pt>
                <c:pt idx="16">
                  <c:v>0.33153793473633553</c:v>
                </c:pt>
                <c:pt idx="17">
                  <c:v>0.33924229074889867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F-4A9D-8F86-28DE33AEF149}"/>
            </c:ext>
          </c:extLst>
        </c:ser>
        <c:ser>
          <c:idx val="1"/>
          <c:order val="1"/>
          <c:tx>
            <c:strRef>
              <c:f>Analysis!$G$4</c:f>
              <c:strCache>
                <c:ptCount val="1"/>
                <c:pt idx="0">
                  <c:v>Comm_Share_%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Analysis!$G$5:$G$22</c:f>
              <c:numCache>
                <c:formatCode>0.0%</c:formatCode>
                <c:ptCount val="18"/>
                <c:pt idx="0">
                  <c:v>0.4298653873693255</c:v>
                </c:pt>
                <c:pt idx="1">
                  <c:v>0.44526883151450625</c:v>
                </c:pt>
                <c:pt idx="2">
                  <c:v>0.46090749900156675</c:v>
                </c:pt>
                <c:pt idx="3">
                  <c:v>0.46811749955221205</c:v>
                </c:pt>
                <c:pt idx="4">
                  <c:v>0.47326614280833618</c:v>
                </c:pt>
                <c:pt idx="5">
                  <c:v>0.47743179939377239</c:v>
                </c:pt>
                <c:pt idx="6">
                  <c:v>0.47890147077964335</c:v>
                </c:pt>
                <c:pt idx="7">
                  <c:v>0.47282768777614137</c:v>
                </c:pt>
                <c:pt idx="8">
                  <c:v>0.47517883202947436</c:v>
                </c:pt>
                <c:pt idx="9">
                  <c:v>0.47554651986202801</c:v>
                </c:pt>
                <c:pt idx="10">
                  <c:v>0.5218571882873847</c:v>
                </c:pt>
                <c:pt idx="11">
                  <c:v>0.53398851430905636</c:v>
                </c:pt>
                <c:pt idx="12">
                  <c:v>0.51996559773927997</c:v>
                </c:pt>
                <c:pt idx="13">
                  <c:v>0.53797257351143513</c:v>
                </c:pt>
                <c:pt idx="14">
                  <c:v>0.53625639419563631</c:v>
                </c:pt>
                <c:pt idx="15">
                  <c:v>0.53485508804158766</c:v>
                </c:pt>
                <c:pt idx="16">
                  <c:v>0.53397375386380885</c:v>
                </c:pt>
                <c:pt idx="17">
                  <c:v>0.52951541850220263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F-4A9D-8F86-28DE33AEF149}"/>
            </c:ext>
          </c:extLst>
        </c:ser>
        <c:ser>
          <c:idx val="2"/>
          <c:order val="2"/>
          <c:tx>
            <c:strRef>
              <c:f>Analysis!$H$4</c:f>
              <c:strCache>
                <c:ptCount val="1"/>
                <c:pt idx="0">
                  <c:v>Ind_Share_%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Analysis!$H$5:$H$22</c:f>
              <c:numCache>
                <c:formatCode>0.0%</c:formatCode>
                <c:ptCount val="18"/>
                <c:pt idx="0">
                  <c:v>9.4372046398396109E-2</c:v>
                </c:pt>
                <c:pt idx="1">
                  <c:v>8.4508916688847482E-2</c:v>
                </c:pt>
                <c:pt idx="2">
                  <c:v>8.0243310497373349E-2</c:v>
                </c:pt>
                <c:pt idx="3">
                  <c:v>7.5347781957131765E-2</c:v>
                </c:pt>
                <c:pt idx="4">
                  <c:v>7.2998519530805148E-2</c:v>
                </c:pt>
                <c:pt idx="5">
                  <c:v>7.153485808762744E-2</c:v>
                </c:pt>
                <c:pt idx="6">
                  <c:v>6.9868540934530779E-2</c:v>
                </c:pt>
                <c:pt idx="7">
                  <c:v>6.8139420716740298E-2</c:v>
                </c:pt>
                <c:pt idx="8">
                  <c:v>6.8446613555348215E-2</c:v>
                </c:pt>
                <c:pt idx="9">
                  <c:v>6.6564634397057815E-2</c:v>
                </c:pt>
                <c:pt idx="10">
                  <c:v>7.0231659287164558E-2</c:v>
                </c:pt>
                <c:pt idx="11">
                  <c:v>6.1224980176370236E-2</c:v>
                </c:pt>
                <c:pt idx="12">
                  <c:v>5.5019044108612851E-2</c:v>
                </c:pt>
                <c:pt idx="13">
                  <c:v>5.3052697086213414E-2</c:v>
                </c:pt>
                <c:pt idx="14">
                  <c:v>4.8898632425096566E-2</c:v>
                </c:pt>
                <c:pt idx="15">
                  <c:v>4.8642732904688388E-2</c:v>
                </c:pt>
                <c:pt idx="16">
                  <c:v>4.8179613896755326E-2</c:v>
                </c:pt>
                <c:pt idx="17">
                  <c:v>4.9674008810572684E-2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6F-4A9D-8F86-28DE33AEF149}"/>
            </c:ext>
          </c:extLst>
        </c:ser>
        <c:ser>
          <c:idx val="3"/>
          <c:order val="3"/>
          <c:tx>
            <c:strRef>
              <c:f>Analysis!$I$4</c:f>
              <c:strCache>
                <c:ptCount val="1"/>
                <c:pt idx="0">
                  <c:v>Other_Share_%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Analysis!$I$5:$I$22</c:f>
              <c:numCache>
                <c:formatCode>0.0%</c:formatCode>
                <c:ptCount val="18"/>
                <c:pt idx="0">
                  <c:v>0.17886295288557927</c:v>
                </c:pt>
                <c:pt idx="1">
                  <c:v>0.17773489486292254</c:v>
                </c:pt>
                <c:pt idx="2">
                  <c:v>0.17514054867745998</c:v>
                </c:pt>
                <c:pt idx="3">
                  <c:v>0.17869723565586004</c:v>
                </c:pt>
                <c:pt idx="4">
                  <c:v>0.17429677713244504</c:v>
                </c:pt>
                <c:pt idx="5">
                  <c:v>0.17335354092036373</c:v>
                </c:pt>
                <c:pt idx="6">
                  <c:v>0.16917870623454379</c:v>
                </c:pt>
                <c:pt idx="7">
                  <c:v>0.17125675012272951</c:v>
                </c:pt>
                <c:pt idx="8">
                  <c:v>0.17115241991435201</c:v>
                </c:pt>
                <c:pt idx="9">
                  <c:v>0.16561207940242592</c:v>
                </c:pt>
                <c:pt idx="10">
                  <c:v>8.9336823307810856E-2</c:v>
                </c:pt>
                <c:pt idx="11">
                  <c:v>8.8954033207583438E-2</c:v>
                </c:pt>
                <c:pt idx="12">
                  <c:v>8.118933529917681E-2</c:v>
                </c:pt>
                <c:pt idx="13">
                  <c:v>7.8856711043940167E-2</c:v>
                </c:pt>
                <c:pt idx="14">
                  <c:v>8.7148971708946657E-2</c:v>
                </c:pt>
                <c:pt idx="15">
                  <c:v>8.9663663546287797E-2</c:v>
                </c:pt>
                <c:pt idx="16">
                  <c:v>8.6308697503100301E-2</c:v>
                </c:pt>
                <c:pt idx="17">
                  <c:v>8.1568281938325993E-2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6F-4A9D-8F86-28DE33AE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8563"/>
        <c:axId val="3026550"/>
      </c:areaChart>
      <c:catAx>
        <c:axId val="6358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6550"/>
        <c:crosses val="autoZero"/>
        <c:auto val="1"/>
        <c:lblAlgn val="ctr"/>
        <c:lblOffset val="100"/>
        <c:noMultiLvlLbl val="0"/>
      </c:catAx>
      <c:valAx>
        <c:axId val="30265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%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85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Energy Consumption per Customer (kWh/year)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15261731564685"/>
          <c:y val="0.15468974341160668"/>
          <c:w val="0.81659564745658952"/>
          <c:h val="0.63578429669769809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Resi_kWh_per_Customer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Analysis!$B$5:$B$22</c:f>
              <c:numCache>
                <c:formatCode>#,##0</c:formatCode>
                <c:ptCount val="18"/>
                <c:pt idx="0">
                  <c:v>24853.078239396309</c:v>
                </c:pt>
                <c:pt idx="1">
                  <c:v>23418.249238793684</c:v>
                </c:pt>
                <c:pt idx="2">
                  <c:v>21913.277049312586</c:v>
                </c:pt>
                <c:pt idx="3">
                  <c:v>21127.495936583462</c:v>
                </c:pt>
                <c:pt idx="4">
                  <c:v>21353.575173722158</c:v>
                </c:pt>
                <c:pt idx="5">
                  <c:v>20964.050927852208</c:v>
                </c:pt>
                <c:pt idx="6">
                  <c:v>21698.338029466482</c:v>
                </c:pt>
                <c:pt idx="7">
                  <c:v>22502.490360051361</c:v>
                </c:pt>
                <c:pt idx="8">
                  <c:v>21399.301049502712</c:v>
                </c:pt>
                <c:pt idx="9">
                  <c:v>21544.393742949032</c:v>
                </c:pt>
                <c:pt idx="10">
                  <c:v>20526.213754438835</c:v>
                </c:pt>
                <c:pt idx="11">
                  <c:v>18799.917614481543</c:v>
                </c:pt>
                <c:pt idx="12">
                  <c:v>18219.27190622648</c:v>
                </c:pt>
                <c:pt idx="13">
                  <c:v>17861.502107472057</c:v>
                </c:pt>
                <c:pt idx="14">
                  <c:v>18049.52435277016</c:v>
                </c:pt>
                <c:pt idx="15">
                  <c:v>18301.47755650543</c:v>
                </c:pt>
                <c:pt idx="16">
                  <c:v>18746.402369464882</c:v>
                </c:pt>
                <c:pt idx="17">
                  <c:v>19188.027117589954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DC-410C-80FF-5343F738D071}"/>
            </c:ext>
          </c:extLst>
        </c:ser>
        <c:ser>
          <c:idx val="1"/>
          <c:order val="1"/>
          <c:tx>
            <c:strRef>
              <c:f>Analysis!$C$4</c:f>
              <c:strCache>
                <c:ptCount val="1"/>
                <c:pt idx="0">
                  <c:v>Comm_kWh_per_Customer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Analysis!$C$5:$C$22</c:f>
              <c:numCache>
                <c:formatCode>#,##0</c:formatCode>
                <c:ptCount val="18"/>
                <c:pt idx="0">
                  <c:v>94887.742119030503</c:v>
                </c:pt>
                <c:pt idx="1">
                  <c:v>91761.801912989817</c:v>
                </c:pt>
                <c:pt idx="2">
                  <c:v>99765.266020760318</c:v>
                </c:pt>
                <c:pt idx="3">
                  <c:v>103463.9746634996</c:v>
                </c:pt>
                <c:pt idx="4">
                  <c:v>106732.84364084652</c:v>
                </c:pt>
                <c:pt idx="5">
                  <c:v>106782.5336661428</c:v>
                </c:pt>
                <c:pt idx="6">
                  <c:v>109127.25482403327</c:v>
                </c:pt>
                <c:pt idx="7">
                  <c:v>108716.26426467103</c:v>
                </c:pt>
                <c:pt idx="8">
                  <c:v>107180.82379541641</c:v>
                </c:pt>
                <c:pt idx="9">
                  <c:v>108090.9879177765</c:v>
                </c:pt>
                <c:pt idx="10">
                  <c:v>107042.86130039037</c:v>
                </c:pt>
                <c:pt idx="11">
                  <c:v>108592.3985809642</c:v>
                </c:pt>
                <c:pt idx="12">
                  <c:v>101260.00756100245</c:v>
                </c:pt>
                <c:pt idx="13">
                  <c:v>113164.58773586671</c:v>
                </c:pt>
                <c:pt idx="14">
                  <c:v>113311.59807117931</c:v>
                </c:pt>
                <c:pt idx="15">
                  <c:v>116874.3540906878</c:v>
                </c:pt>
                <c:pt idx="16">
                  <c:v>120006.65571247322</c:v>
                </c:pt>
                <c:pt idx="17">
                  <c:v>122666.57958223968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DC-410C-80FF-5343F738D071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Ind_kWh_per_Customer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Analysis!$D$5:$D$22</c:f>
              <c:numCache>
                <c:formatCode>#,##0</c:formatCode>
                <c:ptCount val="18"/>
                <c:pt idx="0">
                  <c:v>1319319.3193193192</c:v>
                </c:pt>
                <c:pt idx="1">
                  <c:v>1186915.8878504673</c:v>
                </c:pt>
                <c:pt idx="2">
                  <c:v>1192694.0639269406</c:v>
                </c:pt>
                <c:pt idx="3">
                  <c:v>1105562.8558913709</c:v>
                </c:pt>
                <c:pt idx="4">
                  <c:v>1103745.1571244081</c:v>
                </c:pt>
                <c:pt idx="5">
                  <c:v>1087557.6036866358</c:v>
                </c:pt>
                <c:pt idx="6">
                  <c:v>1062549.4853523357</c:v>
                </c:pt>
                <c:pt idx="7">
                  <c:v>1053110.7738998483</c:v>
                </c:pt>
                <c:pt idx="8">
                  <c:v>1030248.4695714801</c:v>
                </c:pt>
                <c:pt idx="9">
                  <c:v>1018169.1125087352</c:v>
                </c:pt>
                <c:pt idx="10">
                  <c:v>966016.15074024221</c:v>
                </c:pt>
                <c:pt idx="11">
                  <c:v>843708.60927152319</c:v>
                </c:pt>
                <c:pt idx="12">
                  <c:v>747329.77303070761</c:v>
                </c:pt>
                <c:pt idx="13">
                  <c:v>786490.93904448103</c:v>
                </c:pt>
                <c:pt idx="14">
                  <c:v>743492.06349206355</c:v>
                </c:pt>
                <c:pt idx="15">
                  <c:v>772981.36645962729</c:v>
                </c:pt>
                <c:pt idx="16">
                  <c:v>806881.58710477373</c:v>
                </c:pt>
                <c:pt idx="17">
                  <c:v>875194.03911828622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DC-410C-80FF-5343F738D071}"/>
            </c:ext>
          </c:extLst>
        </c:ser>
        <c:ser>
          <c:idx val="3"/>
          <c:order val="3"/>
          <c:tx>
            <c:strRef>
              <c:f>Analysis!$E$4</c:f>
              <c:strCache>
                <c:ptCount val="1"/>
                <c:pt idx="0">
                  <c:v>Other_kWh_per_Customer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Analysis!$A$5:$A$22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Analysis!$E$5:$E$22</c:f>
              <c:numCache>
                <c:formatCode>#,##0</c:formatCode>
                <c:ptCount val="18"/>
                <c:pt idx="0">
                  <c:v>920073.66482504609</c:v>
                </c:pt>
                <c:pt idx="1">
                  <c:v>701325.98135748983</c:v>
                </c:pt>
                <c:pt idx="2">
                  <c:v>836905.4609512625</c:v>
                </c:pt>
                <c:pt idx="3">
                  <c:v>910833.84053560556</c:v>
                </c:pt>
                <c:pt idx="4">
                  <c:v>908847.98099762469</c:v>
                </c:pt>
                <c:pt idx="5">
                  <c:v>914655.42308810703</c:v>
                </c:pt>
                <c:pt idx="6">
                  <c:v>890884.16723783419</c:v>
                </c:pt>
                <c:pt idx="7">
                  <c:v>953532.86866201996</c:v>
                </c:pt>
                <c:pt idx="8">
                  <c:v>980806.14203454892</c:v>
                </c:pt>
                <c:pt idx="9">
                  <c:v>977747.80849629128</c:v>
                </c:pt>
                <c:pt idx="10">
                  <c:v>445528.85201903136</c:v>
                </c:pt>
                <c:pt idx="11">
                  <c:v>420442.930153322</c:v>
                </c:pt>
                <c:pt idx="12">
                  <c:v>320248.13414752349</c:v>
                </c:pt>
                <c:pt idx="13">
                  <c:v>273259.39617991372</c:v>
                </c:pt>
                <c:pt idx="14">
                  <c:v>242589.79425781703</c:v>
                </c:pt>
                <c:pt idx="15">
                  <c:v>204465.43963634744</c:v>
                </c:pt>
                <c:pt idx="16">
                  <c:v>175776.53799758747</c:v>
                </c:pt>
                <c:pt idx="17">
                  <c:v>155132.54465632225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3DC-410C-80FF-5343F738D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97006221"/>
        <c:axId val="63354325"/>
      </c:lineChart>
      <c:catAx>
        <c:axId val="97006221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4325"/>
        <c:crosses val="autoZero"/>
        <c:auto val="1"/>
        <c:lblAlgn val="ctr"/>
        <c:lblOffset val="100"/>
        <c:noMultiLvlLbl val="0"/>
      </c:catAx>
      <c:valAx>
        <c:axId val="633543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kWh per 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62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Energy Requirement: Actual (2008-2025) and Forecast (2026-2030)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Data!$K$4</c:f>
              <c:strCache>
                <c:ptCount val="1"/>
                <c:pt idx="0">
                  <c:v>Total_Requirement_GWh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Data!$K$5:$K$22</c:f>
              <c:numCache>
                <c:formatCode>General</c:formatCode>
                <c:ptCount val="18"/>
                <c:pt idx="0">
                  <c:v>29085</c:v>
                </c:pt>
                <c:pt idx="1">
                  <c:v>30986</c:v>
                </c:pt>
                <c:pt idx="2">
                  <c:v>33742</c:v>
                </c:pt>
                <c:pt idx="3">
                  <c:v>34606</c:v>
                </c:pt>
                <c:pt idx="4">
                  <c:v>36297</c:v>
                </c:pt>
                <c:pt idx="5">
                  <c:v>37478</c:v>
                </c:pt>
                <c:pt idx="6">
                  <c:v>39599</c:v>
                </c:pt>
                <c:pt idx="7">
                  <c:v>42006</c:v>
                </c:pt>
                <c:pt idx="8">
                  <c:v>43093</c:v>
                </c:pt>
                <c:pt idx="9">
                  <c:v>45162</c:v>
                </c:pt>
                <c:pt idx="10">
                  <c:v>45023</c:v>
                </c:pt>
                <c:pt idx="11">
                  <c:v>46704</c:v>
                </c:pt>
                <c:pt idx="12">
                  <c:v>45712</c:v>
                </c:pt>
                <c:pt idx="13">
                  <c:v>50401</c:v>
                </c:pt>
                <c:pt idx="14">
                  <c:v>53180</c:v>
                </c:pt>
                <c:pt idx="15">
                  <c:v>56516</c:v>
                </c:pt>
                <c:pt idx="16">
                  <c:v>59594</c:v>
                </c:pt>
                <c:pt idx="17">
                  <c:v>62633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50-4D2A-8298-09F9F6008C7C}"/>
            </c:ext>
          </c:extLst>
        </c:ser>
        <c:ser>
          <c:idx val="1"/>
          <c:order val="1"/>
          <c:tx>
            <c:strRef>
              <c:f>Analysis!$B$28</c:f>
              <c:strCache>
                <c:ptCount val="1"/>
                <c:pt idx="0">
                  <c:v>Forecast_Total_GWh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Data!$A$5:$A$22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Analysis!$B$29:$B$33</c:f>
              <c:numCache>
                <c:formatCode>#,##0</c:formatCode>
                <c:ptCount val="5"/>
                <c:pt idx="0">
                  <c:v>60960.725490196142</c:v>
                </c:pt>
                <c:pt idx="1">
                  <c:v>62747.135190918576</c:v>
                </c:pt>
                <c:pt idx="2">
                  <c:v>64533.54489164101</c:v>
                </c:pt>
                <c:pt idx="3">
                  <c:v>66319.954592363443</c:v>
                </c:pt>
                <c:pt idx="4">
                  <c:v>68106.364293085877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50-4D2A-8298-09F9F6008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71876667"/>
        <c:axId val="75599071"/>
      </c:lineChart>
      <c:catAx>
        <c:axId val="71876667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9071"/>
        <c:crosses val="autoZero"/>
        <c:auto val="1"/>
        <c:lblAlgn val="ctr"/>
        <c:lblOffset val="100"/>
        <c:noMultiLvlLbl val="0"/>
      </c:catAx>
      <c:valAx>
        <c:axId val="755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6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11</xdr:col>
      <xdr:colOff>473040</xdr:colOff>
      <xdr:row>20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900</xdr:rowOff>
    </xdr:from>
    <xdr:to>
      <xdr:col>14</xdr:col>
      <xdr:colOff>563880</xdr:colOff>
      <xdr:row>40</xdr:row>
      <xdr:rowOff>163620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160560</xdr:rowOff>
    </xdr:from>
    <xdr:to>
      <xdr:col>11</xdr:col>
      <xdr:colOff>473040</xdr:colOff>
      <xdr:row>60</xdr:row>
      <xdr:rowOff>140760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nergyData" displayName="EnergyData" ref="A4:K22" totalsRowShown="0">
  <autoFilter ref="A4:K22" xr:uid="{00000000-0009-0000-0100-000002000000}"/>
  <tableColumns count="11">
    <tableColumn id="1" xr3:uid="{00000000-0010-0000-0000-000001000000}" name="Year"/>
    <tableColumn id="2" xr3:uid="{00000000-0010-0000-0000-000002000000}" name="Comm_Energy_GWh"/>
    <tableColumn id="3" xr3:uid="{00000000-0010-0000-0000-000003000000}" name="Comm_Customers"/>
    <tableColumn id="4" xr3:uid="{00000000-0010-0000-0000-000004000000}" name="Ind_Energy_GWh"/>
    <tableColumn id="5" xr3:uid="{00000000-0010-0000-0000-000005000000}" name="Ind_Customers"/>
    <tableColumn id="6" xr3:uid="{00000000-0010-0000-0000-000006000000}" name="Other_Energy_GWh"/>
    <tableColumn id="7" xr3:uid="{00000000-0010-0000-0000-000007000000}" name="Other_Customers"/>
    <tableColumn id="8" xr3:uid="{00000000-0010-0000-0000-000008000000}" name="PowerStation_Aux_GWh"/>
    <tableColumn id="9" xr3:uid="{00000000-0010-0000-0000-000009000000}" name="Resi_Energy_GWh"/>
    <tableColumn id="10" xr3:uid="{00000000-0010-0000-0000-00000A000000}" name="Resi_Customers"/>
    <tableColumn id="11" xr3:uid="{00000000-0010-0000-0000-00000B000000}" name="Total_Requirement_GWh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nalysisTable" displayName="AnalysisTable" ref="A4:M22" totalsRowShown="0" dataDxfId="0">
  <autoFilter ref="A4:M22" xr:uid="{00000000-0009-0000-0100-000001000000}"/>
  <tableColumns count="13">
    <tableColumn id="1" xr3:uid="{00000000-0010-0000-0100-000001000000}" name="Year" dataDxfId="13"/>
    <tableColumn id="2" xr3:uid="{00000000-0010-0000-0100-000002000000}" name="Resi_kWh_per_Customer" dataDxfId="12"/>
    <tableColumn id="3" xr3:uid="{00000000-0010-0000-0100-000003000000}" name="Comm_kWh_per_Customer" dataDxfId="11"/>
    <tableColumn id="4" xr3:uid="{00000000-0010-0000-0100-000004000000}" name="Ind_kWh_per_Customer" dataDxfId="10"/>
    <tableColumn id="5" xr3:uid="{00000000-0010-0000-0100-000005000000}" name="Other_kWh_per_Customer" dataDxfId="9"/>
    <tableColumn id="6" xr3:uid="{00000000-0010-0000-0100-000006000000}" name="Resi_Share_%" dataDxfId="8"/>
    <tableColumn id="7" xr3:uid="{00000000-0010-0000-0100-000007000000}" name="Comm_Share_%" dataDxfId="7"/>
    <tableColumn id="8" xr3:uid="{00000000-0010-0000-0100-000008000000}" name="Ind_Share_%" dataDxfId="6"/>
    <tableColumn id="9" xr3:uid="{00000000-0010-0000-0100-000009000000}" name="Other_Share_%" dataDxfId="5"/>
    <tableColumn id="10" xr3:uid="{00000000-0010-0000-0100-00000A000000}" name="Resi_YoY_%" dataDxfId="4"/>
    <tableColumn id="11" xr3:uid="{00000000-0010-0000-0100-00000B000000}" name="Comm_YoY_%" dataDxfId="3"/>
    <tableColumn id="12" xr3:uid="{00000000-0010-0000-0100-00000C000000}" name="Ind_YoY_%" dataDxfId="2"/>
    <tableColumn id="13" xr3:uid="{00000000-0010-0000-0100-00000D000000}" name="Other_YoY_%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ata.dubai/en/e/statistic/35681/72746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D1" zoomScaleNormal="100" workbookViewId="0">
      <selection activeCell="G15" sqref="G15"/>
    </sheetView>
  </sheetViews>
  <sheetFormatPr defaultColWidth="8.6640625" defaultRowHeight="14.4" x14ac:dyDescent="0.3"/>
  <cols>
    <col min="1" max="1" width="10" bestFit="1" customWidth="1"/>
    <col min="2" max="2" width="26.109375" bestFit="1" customWidth="1"/>
    <col min="3" max="3" width="23.88671875" bestFit="1" customWidth="1"/>
    <col min="4" max="4" width="22.5546875" bestFit="1" customWidth="1"/>
    <col min="5" max="5" width="20.33203125" bestFit="1" customWidth="1"/>
    <col min="6" max="6" width="25" bestFit="1" customWidth="1"/>
    <col min="7" max="7" width="22.88671875" bestFit="1" customWidth="1"/>
    <col min="8" max="8" width="29.5546875" bestFit="1" customWidth="1"/>
    <col min="9" max="9" width="23.88671875" bestFit="1" customWidth="1"/>
    <col min="10" max="10" width="21.77734375" bestFit="1" customWidth="1"/>
    <col min="11" max="11" width="30.21875" bestFit="1" customWidth="1"/>
  </cols>
  <sheetData>
    <row r="1" spans="1:11" ht="17.25" customHeight="1" x14ac:dyDescent="0.3">
      <c r="A1" s="1" t="s">
        <v>0</v>
      </c>
    </row>
    <row r="2" spans="1:11" ht="15" customHeight="1" x14ac:dyDescent="0.3">
      <c r="A2" s="2" t="s">
        <v>1</v>
      </c>
      <c r="D2" s="11" t="s">
        <v>31</v>
      </c>
    </row>
    <row r="4" spans="1:1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3">
      <c r="A5" s="4">
        <v>2008</v>
      </c>
      <c r="B5" s="4">
        <v>12007</v>
      </c>
      <c r="C5" s="4">
        <v>126539</v>
      </c>
      <c r="D5" s="4">
        <v>2636</v>
      </c>
      <c r="E5" s="4">
        <v>1998</v>
      </c>
      <c r="F5" s="4">
        <v>4996</v>
      </c>
      <c r="G5" s="4">
        <v>5430</v>
      </c>
      <c r="H5" s="4"/>
      <c r="I5" s="4">
        <v>8293</v>
      </c>
      <c r="J5" s="4">
        <v>333681</v>
      </c>
      <c r="K5" s="4">
        <v>29085</v>
      </c>
    </row>
    <row r="6" spans="1:11" x14ac:dyDescent="0.3">
      <c r="A6" s="4">
        <v>2009</v>
      </c>
      <c r="B6" s="4">
        <v>13383</v>
      </c>
      <c r="C6" s="4">
        <v>145845</v>
      </c>
      <c r="D6" s="4">
        <v>2540</v>
      </c>
      <c r="E6" s="4">
        <v>2140</v>
      </c>
      <c r="F6" s="4">
        <v>5342</v>
      </c>
      <c r="G6" s="4">
        <v>7617</v>
      </c>
      <c r="H6" s="4"/>
      <c r="I6" s="4">
        <v>8791</v>
      </c>
      <c r="J6" s="4">
        <v>375391</v>
      </c>
      <c r="K6" s="4">
        <v>30986</v>
      </c>
    </row>
    <row r="7" spans="1:11" x14ac:dyDescent="0.3">
      <c r="A7" s="4">
        <v>2010</v>
      </c>
      <c r="B7" s="4">
        <v>15003</v>
      </c>
      <c r="C7" s="4">
        <v>150383</v>
      </c>
      <c r="D7" s="4">
        <v>2612</v>
      </c>
      <c r="E7" s="4">
        <v>2190</v>
      </c>
      <c r="F7" s="4">
        <v>5701</v>
      </c>
      <c r="G7" s="4">
        <v>6812</v>
      </c>
      <c r="H7" s="4"/>
      <c r="I7" s="4">
        <v>9235</v>
      </c>
      <c r="J7" s="4">
        <v>421434</v>
      </c>
      <c r="K7" s="4">
        <v>33742</v>
      </c>
    </row>
    <row r="8" spans="1:11" x14ac:dyDescent="0.3">
      <c r="A8" s="4">
        <v>2011</v>
      </c>
      <c r="B8" s="4">
        <v>15681</v>
      </c>
      <c r="C8" s="4">
        <v>151560</v>
      </c>
      <c r="D8" s="4">
        <v>2524</v>
      </c>
      <c r="E8" s="4">
        <v>2283</v>
      </c>
      <c r="F8" s="4">
        <v>5986</v>
      </c>
      <c r="G8" s="4">
        <v>6572</v>
      </c>
      <c r="H8" s="4"/>
      <c r="I8" s="4">
        <v>9307</v>
      </c>
      <c r="J8" s="4">
        <v>440516</v>
      </c>
      <c r="K8" s="4">
        <v>34606</v>
      </c>
    </row>
    <row r="9" spans="1:11" x14ac:dyDescent="0.3">
      <c r="A9" s="4">
        <v>2012</v>
      </c>
      <c r="B9" s="4">
        <v>16623</v>
      </c>
      <c r="C9" s="4">
        <v>155744</v>
      </c>
      <c r="D9" s="4">
        <v>2564</v>
      </c>
      <c r="E9" s="4">
        <v>2323</v>
      </c>
      <c r="F9" s="4">
        <v>6122</v>
      </c>
      <c r="G9" s="4">
        <v>6736</v>
      </c>
      <c r="H9" s="4"/>
      <c r="I9" s="4">
        <v>9815</v>
      </c>
      <c r="J9" s="4">
        <v>459642</v>
      </c>
      <c r="K9" s="4">
        <v>36297</v>
      </c>
    </row>
    <row r="10" spans="1:11" x14ac:dyDescent="0.3">
      <c r="A10" s="4">
        <v>2013</v>
      </c>
      <c r="B10" s="4">
        <v>17326</v>
      </c>
      <c r="C10" s="4">
        <v>162255</v>
      </c>
      <c r="D10" s="4">
        <v>2596</v>
      </c>
      <c r="E10" s="4">
        <v>2387</v>
      </c>
      <c r="F10" s="4">
        <v>6291</v>
      </c>
      <c r="G10" s="4">
        <v>6878</v>
      </c>
      <c r="H10" s="4"/>
      <c r="I10" s="4">
        <v>10077</v>
      </c>
      <c r="J10" s="4">
        <v>480680</v>
      </c>
      <c r="K10" s="4">
        <v>37478</v>
      </c>
    </row>
    <row r="11" spans="1:11" x14ac:dyDescent="0.3">
      <c r="A11" s="4">
        <v>2014</v>
      </c>
      <c r="B11" s="4">
        <v>18397</v>
      </c>
      <c r="C11" s="4">
        <v>168583</v>
      </c>
      <c r="D11" s="4">
        <v>2684</v>
      </c>
      <c r="E11" s="4">
        <v>2526</v>
      </c>
      <c r="F11" s="4">
        <v>6499</v>
      </c>
      <c r="G11" s="4">
        <v>7295</v>
      </c>
      <c r="H11" s="4"/>
      <c r="I11" s="4">
        <v>10835</v>
      </c>
      <c r="J11" s="4">
        <v>499347</v>
      </c>
      <c r="K11" s="4">
        <v>39599</v>
      </c>
    </row>
    <row r="12" spans="1:11" x14ac:dyDescent="0.3">
      <c r="A12" s="4">
        <v>2015</v>
      </c>
      <c r="B12" s="4">
        <v>19263</v>
      </c>
      <c r="C12" s="4">
        <v>177186</v>
      </c>
      <c r="D12" s="4">
        <v>2776</v>
      </c>
      <c r="E12" s="4">
        <v>2636</v>
      </c>
      <c r="F12" s="4">
        <v>6977</v>
      </c>
      <c r="G12" s="4">
        <v>7317</v>
      </c>
      <c r="H12" s="4"/>
      <c r="I12" s="4">
        <v>11724</v>
      </c>
      <c r="J12" s="4">
        <v>521009</v>
      </c>
      <c r="K12" s="4">
        <v>42006</v>
      </c>
    </row>
    <row r="13" spans="1:11" x14ac:dyDescent="0.3">
      <c r="A13" s="4">
        <v>2016</v>
      </c>
      <c r="B13" s="4">
        <v>19862</v>
      </c>
      <c r="C13" s="4">
        <v>185313</v>
      </c>
      <c r="D13" s="4">
        <v>2861</v>
      </c>
      <c r="E13" s="4">
        <v>2777</v>
      </c>
      <c r="F13" s="4">
        <v>7154</v>
      </c>
      <c r="G13" s="4">
        <v>7294</v>
      </c>
      <c r="H13" s="4"/>
      <c r="I13" s="4">
        <v>11922</v>
      </c>
      <c r="J13" s="4">
        <v>557121</v>
      </c>
      <c r="K13" s="4">
        <v>43093</v>
      </c>
    </row>
    <row r="14" spans="1:11" x14ac:dyDescent="0.3">
      <c r="A14" s="4">
        <v>2017</v>
      </c>
      <c r="B14" s="4">
        <v>20818</v>
      </c>
      <c r="C14" s="4">
        <v>192597</v>
      </c>
      <c r="D14" s="4">
        <v>2914</v>
      </c>
      <c r="E14" s="4">
        <v>2862</v>
      </c>
      <c r="F14" s="4">
        <v>7250</v>
      </c>
      <c r="G14" s="4">
        <v>7415</v>
      </c>
      <c r="H14" s="4"/>
      <c r="I14" s="4">
        <v>12795</v>
      </c>
      <c r="J14" s="4">
        <v>593890</v>
      </c>
      <c r="K14" s="4">
        <v>45162</v>
      </c>
    </row>
    <row r="15" spans="1:11" x14ac:dyDescent="0.3">
      <c r="A15" s="4">
        <v>2018</v>
      </c>
      <c r="B15" s="4">
        <v>21333</v>
      </c>
      <c r="C15" s="4">
        <v>199294</v>
      </c>
      <c r="D15" s="4">
        <v>2871</v>
      </c>
      <c r="E15" s="4">
        <v>2972</v>
      </c>
      <c r="F15" s="4">
        <v>3652</v>
      </c>
      <c r="G15" s="4">
        <v>8197</v>
      </c>
      <c r="H15" s="4">
        <v>3691</v>
      </c>
      <c r="I15" s="4">
        <v>13023</v>
      </c>
      <c r="J15" s="4">
        <v>634457</v>
      </c>
      <c r="K15" s="4">
        <v>45023</v>
      </c>
    </row>
    <row r="16" spans="1:11" x14ac:dyDescent="0.3">
      <c r="A16" s="4">
        <v>2019</v>
      </c>
      <c r="B16" s="4">
        <v>22223</v>
      </c>
      <c r="C16" s="4">
        <v>204646</v>
      </c>
      <c r="D16" s="4">
        <v>2548</v>
      </c>
      <c r="E16" s="4">
        <v>3020</v>
      </c>
      <c r="F16" s="4">
        <v>3702</v>
      </c>
      <c r="G16" s="4">
        <v>8805</v>
      </c>
      <c r="H16" s="4">
        <v>3763</v>
      </c>
      <c r="I16" s="4">
        <v>13144</v>
      </c>
      <c r="J16" s="4">
        <v>699152</v>
      </c>
      <c r="K16" s="4">
        <v>46704</v>
      </c>
    </row>
    <row r="17" spans="1:11" x14ac:dyDescent="0.3">
      <c r="A17" s="4">
        <v>2020</v>
      </c>
      <c r="B17" s="4">
        <v>21160</v>
      </c>
      <c r="C17" s="4">
        <v>208967</v>
      </c>
      <c r="D17" s="4">
        <v>2239</v>
      </c>
      <c r="E17" s="4">
        <v>2996</v>
      </c>
      <c r="F17" s="4">
        <v>3304</v>
      </c>
      <c r="G17" s="4">
        <v>10317</v>
      </c>
      <c r="H17" s="4">
        <v>3717</v>
      </c>
      <c r="I17" s="4">
        <v>13992</v>
      </c>
      <c r="J17" s="4">
        <v>767978</v>
      </c>
      <c r="K17" s="4">
        <v>45712</v>
      </c>
    </row>
    <row r="18" spans="1:11" x14ac:dyDescent="0.3">
      <c r="A18" s="4">
        <v>2021</v>
      </c>
      <c r="B18" s="4">
        <v>24205</v>
      </c>
      <c r="C18" s="4">
        <v>213892</v>
      </c>
      <c r="D18" s="4">
        <v>2387</v>
      </c>
      <c r="E18" s="4">
        <v>3035</v>
      </c>
      <c r="F18" s="4">
        <v>3548</v>
      </c>
      <c r="G18" s="4">
        <v>12984</v>
      </c>
      <c r="H18" s="4">
        <v>3840</v>
      </c>
      <c r="I18" s="4">
        <v>14853</v>
      </c>
      <c r="J18" s="4">
        <v>831565</v>
      </c>
      <c r="K18" s="4">
        <v>50401</v>
      </c>
    </row>
    <row r="19" spans="1:11" x14ac:dyDescent="0.3">
      <c r="A19" s="4">
        <v>2022</v>
      </c>
      <c r="B19" s="4">
        <v>25684</v>
      </c>
      <c r="C19" s="4">
        <v>226667</v>
      </c>
      <c r="D19" s="4">
        <v>2342</v>
      </c>
      <c r="E19" s="4">
        <v>3150</v>
      </c>
      <c r="F19" s="4">
        <v>4174</v>
      </c>
      <c r="G19" s="4">
        <v>17206</v>
      </c>
      <c r="H19" s="4">
        <v>4193</v>
      </c>
      <c r="I19" s="4">
        <v>15695</v>
      </c>
      <c r="J19" s="4">
        <v>869552</v>
      </c>
      <c r="K19" s="4">
        <v>53180</v>
      </c>
    </row>
    <row r="20" spans="1:11" x14ac:dyDescent="0.3">
      <c r="A20" s="4">
        <v>2023</v>
      </c>
      <c r="B20" s="4">
        <v>27368</v>
      </c>
      <c r="C20" s="4">
        <v>234166</v>
      </c>
      <c r="D20" s="4">
        <v>2489</v>
      </c>
      <c r="E20" s="4">
        <v>3220</v>
      </c>
      <c r="F20" s="4">
        <v>4588</v>
      </c>
      <c r="G20" s="4">
        <v>22439</v>
      </c>
      <c r="H20" s="4">
        <v>4318</v>
      </c>
      <c r="I20" s="4">
        <v>16724</v>
      </c>
      <c r="J20" s="4">
        <v>913806</v>
      </c>
      <c r="K20" s="4">
        <v>56516</v>
      </c>
    </row>
    <row r="21" spans="1:11" x14ac:dyDescent="0.3">
      <c r="A21" s="4">
        <v>2024</v>
      </c>
      <c r="B21" s="4">
        <v>28849</v>
      </c>
      <c r="C21" s="4">
        <v>240395</v>
      </c>
      <c r="D21" s="4">
        <v>2603</v>
      </c>
      <c r="E21" s="4">
        <v>3226</v>
      </c>
      <c r="F21" s="4">
        <v>4663</v>
      </c>
      <c r="G21" s="4">
        <v>26528</v>
      </c>
      <c r="H21" s="4">
        <v>4478</v>
      </c>
      <c r="I21" s="4">
        <v>17912</v>
      </c>
      <c r="J21" s="4">
        <v>955490</v>
      </c>
      <c r="K21" s="4">
        <v>59594</v>
      </c>
    </row>
    <row r="22" spans="1:11" x14ac:dyDescent="0.3">
      <c r="A22" s="4">
        <v>2025</v>
      </c>
      <c r="B22" s="4">
        <v>30050</v>
      </c>
      <c r="C22" s="4">
        <v>244973</v>
      </c>
      <c r="D22" s="4">
        <v>2819</v>
      </c>
      <c r="E22" s="4">
        <v>3221</v>
      </c>
      <c r="F22" s="4">
        <v>4629</v>
      </c>
      <c r="G22" s="4">
        <v>29839</v>
      </c>
      <c r="H22" s="4">
        <v>4703</v>
      </c>
      <c r="I22" s="4">
        <v>19252</v>
      </c>
      <c r="J22" s="4">
        <v>1003334</v>
      </c>
      <c r="K22" s="4">
        <v>62633</v>
      </c>
    </row>
  </sheetData>
  <hyperlinks>
    <hyperlink ref="D2" r:id="rId1" xr:uid="{1EC6E656-AEAF-4181-8575-340E0DD653CB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1" zoomScaleNormal="100" workbookViewId="0">
      <selection activeCell="B31" sqref="B31"/>
    </sheetView>
  </sheetViews>
  <sheetFormatPr defaultColWidth="8.6640625" defaultRowHeight="14.4" x14ac:dyDescent="0.3"/>
  <cols>
    <col min="1" max="1" width="10" bestFit="1" customWidth="1"/>
    <col min="2" max="2" width="30.5546875" bestFit="1" customWidth="1"/>
    <col min="3" max="3" width="32.6640625" bestFit="1" customWidth="1"/>
    <col min="4" max="4" width="29.109375" bestFit="1" customWidth="1"/>
    <col min="5" max="5" width="31.6640625" bestFit="1" customWidth="1"/>
    <col min="6" max="6" width="19.6640625" bestFit="1" customWidth="1"/>
    <col min="7" max="7" width="21.88671875" bestFit="1" customWidth="1"/>
    <col min="8" max="8" width="18.33203125" bestFit="1" customWidth="1"/>
    <col min="9" max="9" width="20.77734375" bestFit="1" customWidth="1"/>
    <col min="10" max="10" width="18.109375" bestFit="1" customWidth="1"/>
    <col min="11" max="11" width="20.21875" bestFit="1" customWidth="1"/>
    <col min="12" max="12" width="16.6640625" bestFit="1" customWidth="1"/>
    <col min="13" max="13" width="19.21875" bestFit="1" customWidth="1"/>
  </cols>
  <sheetData>
    <row r="1" spans="1:13" ht="17.25" customHeight="1" x14ac:dyDescent="0.3">
      <c r="A1" s="1" t="s">
        <v>13</v>
      </c>
    </row>
    <row r="2" spans="1:13" ht="15" customHeight="1" x14ac:dyDescent="0.3">
      <c r="A2" s="2" t="s">
        <v>14</v>
      </c>
    </row>
    <row r="4" spans="1:13" x14ac:dyDescent="0.3">
      <c r="A4" s="3" t="s">
        <v>2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 x14ac:dyDescent="0.3">
      <c r="A5" s="7">
        <f>Data!A5</f>
        <v>2008</v>
      </c>
      <c r="B5" s="8">
        <f>IFERROR(Data!I5*1000000/Data!J5,"")</f>
        <v>24853.078239396309</v>
      </c>
      <c r="C5" s="8">
        <f>IFERROR(Data!B5*1000000/Data!C5,"")</f>
        <v>94887.742119030503</v>
      </c>
      <c r="D5" s="8">
        <f>IFERROR(Data!D5*1000000/Data!E5,"")</f>
        <v>1319319.3193193192</v>
      </c>
      <c r="E5" s="8">
        <f>IFERROR(Data!F5*1000000/Data!G5,"")</f>
        <v>920073.66482504609</v>
      </c>
      <c r="F5" s="9">
        <f>IFERROR(Data!I5/(Data!I5+Data!B5+Data!D5+Data!F5),"")</f>
        <v>0.29689961334669912</v>
      </c>
      <c r="G5" s="9">
        <f>IFERROR(Data!B5/(Data!I5+Data!B5+Data!D5+Data!F5),"")</f>
        <v>0.4298653873693255</v>
      </c>
      <c r="H5" s="9">
        <f>IFERROR(Data!D5/(Data!I5+Data!B5+Data!D5+Data!F5),"")</f>
        <v>9.4372046398396109E-2</v>
      </c>
      <c r="I5" s="9">
        <f>IFERROR(Data!F5/(Data!I5+Data!B5+Data!D5+Data!F5),"")</f>
        <v>0.17886295288557927</v>
      </c>
      <c r="J5" s="9"/>
      <c r="K5" s="9"/>
      <c r="L5" s="9"/>
      <c r="M5" s="9"/>
    </row>
    <row r="6" spans="1:13" x14ac:dyDescent="0.3">
      <c r="A6" s="7">
        <f>Data!A6</f>
        <v>2009</v>
      </c>
      <c r="B6" s="8">
        <f>IFERROR(Data!I6*1000000/Data!J6,"")</f>
        <v>23418.249238793684</v>
      </c>
      <c r="C6" s="8">
        <f>IFERROR(Data!B6*1000000/Data!C6,"")</f>
        <v>91761.801912989817</v>
      </c>
      <c r="D6" s="8">
        <f>IFERROR(Data!D6*1000000/Data!E6,"")</f>
        <v>1186915.8878504673</v>
      </c>
      <c r="E6" s="8">
        <f>IFERROR(Data!F6*1000000/Data!G6,"")</f>
        <v>701325.98135748983</v>
      </c>
      <c r="F6" s="9">
        <f>IFERROR(Data!I6/(Data!I6+Data!B6+Data!D6+Data!F6),"")</f>
        <v>0.29248735693372374</v>
      </c>
      <c r="G6" s="9">
        <f>IFERROR(Data!B6/(Data!I6+Data!B6+Data!D6+Data!F6),"")</f>
        <v>0.44526883151450625</v>
      </c>
      <c r="H6" s="9">
        <f>IFERROR(Data!D6/(Data!I6+Data!B6+Data!D6+Data!F6),"")</f>
        <v>8.4508916688847482E-2</v>
      </c>
      <c r="I6" s="9">
        <f>IFERROR(Data!F6/(Data!I6+Data!B6+Data!D6+Data!F6),"")</f>
        <v>0.17773489486292254</v>
      </c>
      <c r="J6" s="9">
        <f>IFERROR((Data!I6-Data!I5)/Data!I5,"")</f>
        <v>6.0050645122392381E-2</v>
      </c>
      <c r="K6" s="9">
        <f>IFERROR((Data!B6-Data!B5)/Data!B5,"")</f>
        <v>0.11459981677354876</v>
      </c>
      <c r="L6" s="9">
        <f>IFERROR((Data!D6-Data!D5)/Data!D5,"")</f>
        <v>-3.6418816388467376E-2</v>
      </c>
      <c r="M6" s="9">
        <f>IFERROR((Data!F6-Data!F5)/Data!F5,"")</f>
        <v>6.9255404323458766E-2</v>
      </c>
    </row>
    <row r="7" spans="1:13" x14ac:dyDescent="0.3">
      <c r="A7" s="7">
        <f>Data!A7</f>
        <v>2010</v>
      </c>
      <c r="B7" s="8">
        <f>IFERROR(Data!I7*1000000/Data!J7,"")</f>
        <v>21913.277049312586</v>
      </c>
      <c r="C7" s="8">
        <f>IFERROR(Data!B7*1000000/Data!C7,"")</f>
        <v>99765.266020760318</v>
      </c>
      <c r="D7" s="8">
        <f>IFERROR(Data!D7*1000000/Data!E7,"")</f>
        <v>1192694.0639269406</v>
      </c>
      <c r="E7" s="8">
        <f>IFERROR(Data!F7*1000000/Data!G7,"")</f>
        <v>836905.4609512625</v>
      </c>
      <c r="F7" s="9">
        <f>IFERROR(Data!I7/(Data!I7+Data!B7+Data!D7+Data!F7),"")</f>
        <v>0.28370864182359989</v>
      </c>
      <c r="G7" s="9">
        <f>IFERROR(Data!B7/(Data!I7+Data!B7+Data!D7+Data!F7),"")</f>
        <v>0.46090749900156675</v>
      </c>
      <c r="H7" s="9">
        <f>IFERROR(Data!D7/(Data!I7+Data!B7+Data!D7+Data!F7),"")</f>
        <v>8.0243310497373349E-2</v>
      </c>
      <c r="I7" s="9">
        <f>IFERROR(Data!F7/(Data!I7+Data!B7+Data!D7+Data!F7),"")</f>
        <v>0.17514054867745998</v>
      </c>
      <c r="J7" s="9">
        <f>IFERROR((Data!I7-Data!I6)/Data!I6,"")</f>
        <v>5.050619952223865E-2</v>
      </c>
      <c r="K7" s="9">
        <f>IFERROR((Data!B7-Data!B6)/Data!B6,"")</f>
        <v>0.12104909213180901</v>
      </c>
      <c r="L7" s="9">
        <f>IFERROR((Data!D7-Data!D6)/Data!D6,"")</f>
        <v>2.8346456692913385E-2</v>
      </c>
      <c r="M7" s="9">
        <f>IFERROR((Data!F7-Data!F6)/Data!F6,"")</f>
        <v>6.7203294646199924E-2</v>
      </c>
    </row>
    <row r="8" spans="1:13" x14ac:dyDescent="0.3">
      <c r="A8" s="7">
        <f>Data!A8</f>
        <v>2011</v>
      </c>
      <c r="B8" s="8">
        <f>IFERROR(Data!I8*1000000/Data!J8,"")</f>
        <v>21127.495936583462</v>
      </c>
      <c r="C8" s="8">
        <f>IFERROR(Data!B8*1000000/Data!C8,"")</f>
        <v>103463.9746634996</v>
      </c>
      <c r="D8" s="8">
        <f>IFERROR(Data!D8*1000000/Data!E8,"")</f>
        <v>1105562.8558913709</v>
      </c>
      <c r="E8" s="8">
        <f>IFERROR(Data!F8*1000000/Data!G8,"")</f>
        <v>910833.84053560556</v>
      </c>
      <c r="F8" s="9">
        <f>IFERROR(Data!I8/(Data!I8+Data!B8+Data!D8+Data!F8),"")</f>
        <v>0.27783748283479609</v>
      </c>
      <c r="G8" s="9">
        <f>IFERROR(Data!B8/(Data!I8+Data!B8+Data!D8+Data!F8),"")</f>
        <v>0.46811749955221205</v>
      </c>
      <c r="H8" s="9">
        <f>IFERROR(Data!D8/(Data!I8+Data!B8+Data!D8+Data!F8),"")</f>
        <v>7.5347781957131765E-2</v>
      </c>
      <c r="I8" s="9">
        <f>IFERROR(Data!F8/(Data!I8+Data!B8+Data!D8+Data!F8),"")</f>
        <v>0.17869723565586004</v>
      </c>
      <c r="J8" s="9">
        <f>IFERROR((Data!I8-Data!I7)/Data!I7,"")</f>
        <v>7.7964266377910122E-3</v>
      </c>
      <c r="K8" s="9">
        <f>IFERROR((Data!B8-Data!B7)/Data!B7,"")</f>
        <v>4.5190961807638472E-2</v>
      </c>
      <c r="L8" s="9">
        <f>IFERROR((Data!D8-Data!D7)/Data!D7,"")</f>
        <v>-3.3690658499234305E-2</v>
      </c>
      <c r="M8" s="9">
        <f>IFERROR((Data!F8-Data!F7)/Data!F7,"")</f>
        <v>4.9991229608840553E-2</v>
      </c>
    </row>
    <row r="9" spans="1:13" x14ac:dyDescent="0.3">
      <c r="A9" s="7">
        <f>Data!A9</f>
        <v>2012</v>
      </c>
      <c r="B9" s="8">
        <f>IFERROR(Data!I9*1000000/Data!J9,"")</f>
        <v>21353.575173722158</v>
      </c>
      <c r="C9" s="8">
        <f>IFERROR(Data!B9*1000000/Data!C9,"")</f>
        <v>106732.84364084652</v>
      </c>
      <c r="D9" s="8">
        <f>IFERROR(Data!D9*1000000/Data!E9,"")</f>
        <v>1103745.1571244081</v>
      </c>
      <c r="E9" s="8">
        <f>IFERROR(Data!F9*1000000/Data!G9,"")</f>
        <v>908847.98099762469</v>
      </c>
      <c r="F9" s="9">
        <f>IFERROR(Data!I9/(Data!I9+Data!B9+Data!D9+Data!F9),"")</f>
        <v>0.27943856052841359</v>
      </c>
      <c r="G9" s="9">
        <f>IFERROR(Data!B9/(Data!I9+Data!B9+Data!D9+Data!F9),"")</f>
        <v>0.47326614280833618</v>
      </c>
      <c r="H9" s="9">
        <f>IFERROR(Data!D9/(Data!I9+Data!B9+Data!D9+Data!F9),"")</f>
        <v>7.2998519530805148E-2</v>
      </c>
      <c r="I9" s="9">
        <f>IFERROR(Data!F9/(Data!I9+Data!B9+Data!D9+Data!F9),"")</f>
        <v>0.17429677713244504</v>
      </c>
      <c r="J9" s="9">
        <f>IFERROR((Data!I9-Data!I8)/Data!I8,"")</f>
        <v>5.4582572257440634E-2</v>
      </c>
      <c r="K9" s="9">
        <f>IFERROR((Data!B9-Data!B8)/Data!B8,"")</f>
        <v>6.0072699445188442E-2</v>
      </c>
      <c r="L9" s="9">
        <f>IFERROR((Data!D9-Data!D8)/Data!D8,"")</f>
        <v>1.5847860538827259E-2</v>
      </c>
      <c r="M9" s="9">
        <f>IFERROR((Data!F9-Data!F8)/Data!F8,"")</f>
        <v>2.2719679251587035E-2</v>
      </c>
    </row>
    <row r="10" spans="1:13" x14ac:dyDescent="0.3">
      <c r="A10" s="7">
        <f>Data!A10</f>
        <v>2013</v>
      </c>
      <c r="B10" s="8">
        <f>IFERROR(Data!I10*1000000/Data!J10,"")</f>
        <v>20964.050927852208</v>
      </c>
      <c r="C10" s="8">
        <f>IFERROR(Data!B10*1000000/Data!C10,"")</f>
        <v>106782.5336661428</v>
      </c>
      <c r="D10" s="8">
        <f>IFERROR(Data!D10*1000000/Data!E10,"")</f>
        <v>1087557.6036866358</v>
      </c>
      <c r="E10" s="8">
        <f>IFERROR(Data!F10*1000000/Data!G10,"")</f>
        <v>914655.42308810703</v>
      </c>
      <c r="F10" s="9">
        <f>IFERROR(Data!I10/(Data!I10+Data!B10+Data!D10+Data!F10),"")</f>
        <v>0.27767980159823641</v>
      </c>
      <c r="G10" s="9">
        <f>IFERROR(Data!B10/(Data!I10+Data!B10+Data!D10+Data!F10),"")</f>
        <v>0.47743179939377239</v>
      </c>
      <c r="H10" s="9">
        <f>IFERROR(Data!D10/(Data!I10+Data!B10+Data!D10+Data!F10),"")</f>
        <v>7.153485808762744E-2</v>
      </c>
      <c r="I10" s="9">
        <f>IFERROR(Data!F10/(Data!I10+Data!B10+Data!D10+Data!F10),"")</f>
        <v>0.17335354092036373</v>
      </c>
      <c r="J10" s="9">
        <f>IFERROR((Data!I10-Data!I9)/Data!I9,"")</f>
        <v>2.6693835965359146E-2</v>
      </c>
      <c r="K10" s="9">
        <f>IFERROR((Data!B10-Data!B9)/Data!B9,"")</f>
        <v>4.2290801900980571E-2</v>
      </c>
      <c r="L10" s="9">
        <f>IFERROR((Data!D10-Data!D9)/Data!D9,"")</f>
        <v>1.2480499219968799E-2</v>
      </c>
      <c r="M10" s="9">
        <f>IFERROR((Data!F10-Data!F9)/Data!F9,"")</f>
        <v>2.7605357726233258E-2</v>
      </c>
    </row>
    <row r="11" spans="1:13" x14ac:dyDescent="0.3">
      <c r="A11" s="7">
        <f>Data!A11</f>
        <v>2014</v>
      </c>
      <c r="B11" s="8">
        <f>IFERROR(Data!I11*1000000/Data!J11,"")</f>
        <v>21698.338029466482</v>
      </c>
      <c r="C11" s="8">
        <f>IFERROR(Data!B11*1000000/Data!C11,"")</f>
        <v>109127.25482403327</v>
      </c>
      <c r="D11" s="8">
        <f>IFERROR(Data!D11*1000000/Data!E11,"")</f>
        <v>1062549.4853523357</v>
      </c>
      <c r="E11" s="8">
        <f>IFERROR(Data!F11*1000000/Data!G11,"")</f>
        <v>890884.16723783419</v>
      </c>
      <c r="F11" s="9">
        <f>IFERROR(Data!I11/(Data!I11+Data!B11+Data!D11+Data!F11),"")</f>
        <v>0.28205128205128205</v>
      </c>
      <c r="G11" s="9">
        <f>IFERROR(Data!B11/(Data!I11+Data!B11+Data!D11+Data!F11),"")</f>
        <v>0.47890147077964335</v>
      </c>
      <c r="H11" s="9">
        <f>IFERROR(Data!D11/(Data!I11+Data!B11+Data!D11+Data!F11),"")</f>
        <v>6.9868540934530779E-2</v>
      </c>
      <c r="I11" s="9">
        <f>IFERROR(Data!F11/(Data!I11+Data!B11+Data!D11+Data!F11),"")</f>
        <v>0.16917870623454379</v>
      </c>
      <c r="J11" s="9">
        <f>IFERROR((Data!I11-Data!I10)/Data!I10,"")</f>
        <v>7.5220799841222583E-2</v>
      </c>
      <c r="K11" s="9">
        <f>IFERROR((Data!B11-Data!B10)/Data!B10,"")</f>
        <v>6.1814613875101003E-2</v>
      </c>
      <c r="L11" s="9">
        <f>IFERROR((Data!D11-Data!D10)/Data!D10,"")</f>
        <v>3.3898305084745763E-2</v>
      </c>
      <c r="M11" s="9">
        <f>IFERROR((Data!F11-Data!F10)/Data!F10,"")</f>
        <v>3.3063106024479413E-2</v>
      </c>
    </row>
    <row r="12" spans="1:13" x14ac:dyDescent="0.3">
      <c r="A12" s="7">
        <f>Data!A12</f>
        <v>2015</v>
      </c>
      <c r="B12" s="8">
        <f>IFERROR(Data!I12*1000000/Data!J12,"")</f>
        <v>22502.490360051361</v>
      </c>
      <c r="C12" s="8">
        <f>IFERROR(Data!B12*1000000/Data!C12,"")</f>
        <v>108716.26426467103</v>
      </c>
      <c r="D12" s="8">
        <f>IFERROR(Data!D12*1000000/Data!E12,"")</f>
        <v>1053110.7738998483</v>
      </c>
      <c r="E12" s="8">
        <f>IFERROR(Data!F12*1000000/Data!G12,"")</f>
        <v>953532.86866201996</v>
      </c>
      <c r="F12" s="9">
        <f>IFERROR(Data!I12/(Data!I12+Data!B12+Data!D12+Data!F12),"")</f>
        <v>0.28777614138438878</v>
      </c>
      <c r="G12" s="9">
        <f>IFERROR(Data!B12/(Data!I12+Data!B12+Data!D12+Data!F12),"")</f>
        <v>0.47282768777614137</v>
      </c>
      <c r="H12" s="9">
        <f>IFERROR(Data!D12/(Data!I12+Data!B12+Data!D12+Data!F12),"")</f>
        <v>6.8139420716740298E-2</v>
      </c>
      <c r="I12" s="9">
        <f>IFERROR(Data!F12/(Data!I12+Data!B12+Data!D12+Data!F12),"")</f>
        <v>0.17125675012272951</v>
      </c>
      <c r="J12" s="9">
        <f>IFERROR((Data!I12-Data!I11)/Data!I11,"")</f>
        <v>8.2048915551453619E-2</v>
      </c>
      <c r="K12" s="9">
        <f>IFERROR((Data!B12-Data!B11)/Data!B11,"")</f>
        <v>4.70728923193999E-2</v>
      </c>
      <c r="L12" s="9">
        <f>IFERROR((Data!D12-Data!D11)/Data!D11,"")</f>
        <v>3.4277198211624442E-2</v>
      </c>
      <c r="M12" s="9">
        <f>IFERROR((Data!F12-Data!F11)/Data!F11,"")</f>
        <v>7.3549776888752111E-2</v>
      </c>
    </row>
    <row r="13" spans="1:13" x14ac:dyDescent="0.3">
      <c r="A13" s="7">
        <f>Data!A13</f>
        <v>2016</v>
      </c>
      <c r="B13" s="8">
        <f>IFERROR(Data!I13*1000000/Data!J13,"")</f>
        <v>21399.301049502712</v>
      </c>
      <c r="C13" s="8">
        <f>IFERROR(Data!B13*1000000/Data!C13,"")</f>
        <v>107180.82379541641</v>
      </c>
      <c r="D13" s="8">
        <f>IFERROR(Data!D13*1000000/Data!E13,"")</f>
        <v>1030248.4695714801</v>
      </c>
      <c r="E13" s="8">
        <f>IFERROR(Data!F13*1000000/Data!G13,"")</f>
        <v>980806.14203454892</v>
      </c>
      <c r="F13" s="9">
        <f>IFERROR(Data!I13/(Data!I13+Data!B13+Data!D13+Data!F13),"")</f>
        <v>0.2852221345008254</v>
      </c>
      <c r="G13" s="9">
        <f>IFERROR(Data!B13/(Data!I13+Data!B13+Data!D13+Data!F13),"")</f>
        <v>0.47517883202947436</v>
      </c>
      <c r="H13" s="9">
        <f>IFERROR(Data!D13/(Data!I13+Data!B13+Data!D13+Data!F13),"")</f>
        <v>6.8446613555348215E-2</v>
      </c>
      <c r="I13" s="9">
        <f>IFERROR(Data!F13/(Data!I13+Data!B13+Data!D13+Data!F13),"")</f>
        <v>0.17115241991435201</v>
      </c>
      <c r="J13" s="9">
        <f>IFERROR((Data!I13-Data!I12)/Data!I12,"")</f>
        <v>1.6888433981576252E-2</v>
      </c>
      <c r="K13" s="9">
        <f>IFERROR((Data!B13-Data!B12)/Data!B12,"")</f>
        <v>3.1095883299589889E-2</v>
      </c>
      <c r="L13" s="9">
        <f>IFERROR((Data!D13-Data!D12)/Data!D12,"")</f>
        <v>3.0619596541786743E-2</v>
      </c>
      <c r="M13" s="9">
        <f>IFERROR((Data!F13-Data!F12)/Data!F12,"")</f>
        <v>2.5369069800773972E-2</v>
      </c>
    </row>
    <row r="14" spans="1:13" x14ac:dyDescent="0.3">
      <c r="A14" s="7">
        <f>Data!A14</f>
        <v>2017</v>
      </c>
      <c r="B14" s="8">
        <f>IFERROR(Data!I14*1000000/Data!J14,"")</f>
        <v>21544.393742949032</v>
      </c>
      <c r="C14" s="8">
        <f>IFERROR(Data!B14*1000000/Data!C14,"")</f>
        <v>108090.9879177765</v>
      </c>
      <c r="D14" s="8">
        <f>IFERROR(Data!D14*1000000/Data!E14,"")</f>
        <v>1018169.1125087352</v>
      </c>
      <c r="E14" s="8">
        <f>IFERROR(Data!F14*1000000/Data!G14,"")</f>
        <v>977747.80849629128</v>
      </c>
      <c r="F14" s="9">
        <f>IFERROR(Data!I14/(Data!I14+Data!B14+Data!D14+Data!F14),"")</f>
        <v>0.29227676633848826</v>
      </c>
      <c r="G14" s="9">
        <f>IFERROR(Data!B14/(Data!I14+Data!B14+Data!D14+Data!F14),"")</f>
        <v>0.47554651986202801</v>
      </c>
      <c r="H14" s="9">
        <f>IFERROR(Data!D14/(Data!I14+Data!B14+Data!D14+Data!F14),"")</f>
        <v>6.6564634397057815E-2</v>
      </c>
      <c r="I14" s="9">
        <f>IFERROR(Data!F14/(Data!I14+Data!B14+Data!D14+Data!F14),"")</f>
        <v>0.16561207940242592</v>
      </c>
      <c r="J14" s="9">
        <f>IFERROR((Data!I14-Data!I13)/Data!I13,"")</f>
        <v>7.3225968797181684E-2</v>
      </c>
      <c r="K14" s="9">
        <f>IFERROR((Data!B14-Data!B13)/Data!B13,"")</f>
        <v>4.813211156983184E-2</v>
      </c>
      <c r="L14" s="9">
        <f>IFERROR((Data!D14-Data!D13)/Data!D13,"")</f>
        <v>1.8524991261796575E-2</v>
      </c>
      <c r="M14" s="9">
        <f>IFERROR((Data!F14-Data!F13)/Data!F13,"")</f>
        <v>1.3419066256639642E-2</v>
      </c>
    </row>
    <row r="15" spans="1:13" x14ac:dyDescent="0.3">
      <c r="A15" s="7">
        <f>Data!A15</f>
        <v>2018</v>
      </c>
      <c r="B15" s="8">
        <f>IFERROR(Data!I15*1000000/Data!J15,"")</f>
        <v>20526.213754438835</v>
      </c>
      <c r="C15" s="8">
        <f>IFERROR(Data!B15*1000000/Data!C15,"")</f>
        <v>107042.86130039037</v>
      </c>
      <c r="D15" s="8">
        <f>IFERROR(Data!D15*1000000/Data!E15,"")</f>
        <v>966016.15074024221</v>
      </c>
      <c r="E15" s="8">
        <f>IFERROR(Data!F15*1000000/Data!G15,"")</f>
        <v>445528.85201903136</v>
      </c>
      <c r="F15" s="9">
        <f>IFERROR(Data!I15/(Data!I15+Data!B15+Data!D15+Data!F15),"")</f>
        <v>0.31857432911763989</v>
      </c>
      <c r="G15" s="9">
        <f>IFERROR(Data!B15/(Data!I15+Data!B15+Data!D15+Data!F15),"")</f>
        <v>0.5218571882873847</v>
      </c>
      <c r="H15" s="9">
        <f>IFERROR(Data!D15/(Data!I15+Data!B15+Data!D15+Data!F15),"")</f>
        <v>7.0231659287164558E-2</v>
      </c>
      <c r="I15" s="9">
        <f>IFERROR(Data!F15/(Data!I15+Data!B15+Data!D15+Data!F15),"")</f>
        <v>8.9336823307810856E-2</v>
      </c>
      <c r="J15" s="9">
        <f>IFERROR((Data!I15-Data!I14)/Data!I14,"")</f>
        <v>1.7819460726846426E-2</v>
      </c>
      <c r="K15" s="9">
        <f>IFERROR((Data!B15-Data!B14)/Data!B14,"")</f>
        <v>2.4738207320587954E-2</v>
      </c>
      <c r="L15" s="9">
        <f>IFERROR((Data!D15-Data!D14)/Data!D14,"")</f>
        <v>-1.4756348661633494E-2</v>
      </c>
      <c r="M15" s="9">
        <f>IFERROR((Data!F15-Data!F14)/Data!F14,"")</f>
        <v>-0.49627586206896551</v>
      </c>
    </row>
    <row r="16" spans="1:13" x14ac:dyDescent="0.3">
      <c r="A16" s="7">
        <f>Data!A16</f>
        <v>2019</v>
      </c>
      <c r="B16" s="8">
        <f>IFERROR(Data!I16*1000000/Data!J16,"")</f>
        <v>18799.917614481543</v>
      </c>
      <c r="C16" s="8">
        <f>IFERROR(Data!B16*1000000/Data!C16,"")</f>
        <v>108592.3985809642</v>
      </c>
      <c r="D16" s="8">
        <f>IFERROR(Data!D16*1000000/Data!E16,"")</f>
        <v>843708.60927152319</v>
      </c>
      <c r="E16" s="8">
        <f>IFERROR(Data!F16*1000000/Data!G16,"")</f>
        <v>420442.930153322</v>
      </c>
      <c r="F16" s="9">
        <f>IFERROR(Data!I16/(Data!I16+Data!B16+Data!D16+Data!F16),"")</f>
        <v>0.31583247230698991</v>
      </c>
      <c r="G16" s="9">
        <f>IFERROR(Data!B16/(Data!I16+Data!B16+Data!D16+Data!F16),"")</f>
        <v>0.53398851430905636</v>
      </c>
      <c r="H16" s="9">
        <f>IFERROR(Data!D16/(Data!I16+Data!B16+Data!D16+Data!F16),"")</f>
        <v>6.1224980176370236E-2</v>
      </c>
      <c r="I16" s="9">
        <f>IFERROR(Data!F16/(Data!I16+Data!B16+Data!D16+Data!F16),"")</f>
        <v>8.8954033207583438E-2</v>
      </c>
      <c r="J16" s="9">
        <f>IFERROR((Data!I16-Data!I15)/Data!I15,"")</f>
        <v>9.2912539353451583E-3</v>
      </c>
      <c r="K16" s="9">
        <f>IFERROR((Data!B16-Data!B15)/Data!B15,"")</f>
        <v>4.1719401865654149E-2</v>
      </c>
      <c r="L16" s="9">
        <f>IFERROR((Data!D16-Data!D15)/Data!D15,"")</f>
        <v>-0.11250435388366423</v>
      </c>
      <c r="M16" s="9">
        <f>IFERROR((Data!F16-Data!F15)/Data!F15,"")</f>
        <v>1.3691128148959474E-2</v>
      </c>
    </row>
    <row r="17" spans="1:13" x14ac:dyDescent="0.3">
      <c r="A17" s="7">
        <f>Data!A17</f>
        <v>2020</v>
      </c>
      <c r="B17" s="8">
        <f>IFERROR(Data!I17*1000000/Data!J17,"")</f>
        <v>18219.27190622648</v>
      </c>
      <c r="C17" s="8">
        <f>IFERROR(Data!B17*1000000/Data!C17,"")</f>
        <v>101260.00756100245</v>
      </c>
      <c r="D17" s="8">
        <f>IFERROR(Data!D17*1000000/Data!E17,"")</f>
        <v>747329.77303070761</v>
      </c>
      <c r="E17" s="8">
        <f>IFERROR(Data!F17*1000000/Data!G17,"")</f>
        <v>320248.13414752349</v>
      </c>
      <c r="F17" s="9">
        <f>IFERROR(Data!I17/(Data!I17+Data!B17+Data!D17+Data!F17),"")</f>
        <v>0.34382602285293035</v>
      </c>
      <c r="G17" s="9">
        <f>IFERROR(Data!B17/(Data!I17+Data!B17+Data!D17+Data!F17),"")</f>
        <v>0.51996559773927997</v>
      </c>
      <c r="H17" s="9">
        <f>IFERROR(Data!D17/(Data!I17+Data!B17+Data!D17+Data!F17),"")</f>
        <v>5.5019044108612851E-2</v>
      </c>
      <c r="I17" s="9">
        <f>IFERROR(Data!F17/(Data!I17+Data!B17+Data!D17+Data!F17),"")</f>
        <v>8.118933529917681E-2</v>
      </c>
      <c r="J17" s="9">
        <f>IFERROR((Data!I17-Data!I16)/Data!I16,"")</f>
        <v>6.4516129032258063E-2</v>
      </c>
      <c r="K17" s="9">
        <f>IFERROR((Data!B17-Data!B16)/Data!B16,"")</f>
        <v>-4.7833325833595827E-2</v>
      </c>
      <c r="L17" s="9">
        <f>IFERROR((Data!D17-Data!D16)/Data!D16,"")</f>
        <v>-0.12127158555729985</v>
      </c>
      <c r="M17" s="9">
        <f>IFERROR((Data!F17-Data!F16)/Data!F16,"")</f>
        <v>-0.10750945434900054</v>
      </c>
    </row>
    <row r="18" spans="1:13" x14ac:dyDescent="0.3">
      <c r="A18" s="7">
        <f>Data!A18</f>
        <v>2021</v>
      </c>
      <c r="B18" s="8">
        <f>IFERROR(Data!I18*1000000/Data!J18,"")</f>
        <v>17861.502107472057</v>
      </c>
      <c r="C18" s="8">
        <f>IFERROR(Data!B18*1000000/Data!C18,"")</f>
        <v>113164.58773586671</v>
      </c>
      <c r="D18" s="8">
        <f>IFERROR(Data!D18*1000000/Data!E18,"")</f>
        <v>786490.93904448103</v>
      </c>
      <c r="E18" s="8">
        <f>IFERROR(Data!F18*1000000/Data!G18,"")</f>
        <v>273259.39617991372</v>
      </c>
      <c r="F18" s="9">
        <f>IFERROR(Data!I18/(Data!I18+Data!B18+Data!D18+Data!F18),"")</f>
        <v>0.33011801835841131</v>
      </c>
      <c r="G18" s="9">
        <f>IFERROR(Data!B18/(Data!I18+Data!B18+Data!D18+Data!F18),"")</f>
        <v>0.53797257351143513</v>
      </c>
      <c r="H18" s="9">
        <f>IFERROR(Data!D18/(Data!I18+Data!B18+Data!D18+Data!F18),"")</f>
        <v>5.3052697086213414E-2</v>
      </c>
      <c r="I18" s="9">
        <f>IFERROR(Data!F18/(Data!I18+Data!B18+Data!D18+Data!F18),"")</f>
        <v>7.8856711043940167E-2</v>
      </c>
      <c r="J18" s="9">
        <f>IFERROR((Data!I18-Data!I17)/Data!I17,"")</f>
        <v>6.1535162950257287E-2</v>
      </c>
      <c r="K18" s="9">
        <f>IFERROR((Data!B18-Data!B17)/Data!B17,"")</f>
        <v>0.14390359168241965</v>
      </c>
      <c r="L18" s="9">
        <f>IFERROR((Data!D18-Data!D17)/Data!D17,"")</f>
        <v>6.6100937918713715E-2</v>
      </c>
      <c r="M18" s="9">
        <f>IFERROR((Data!F18-Data!F17)/Data!F17,"")</f>
        <v>7.3849878934624691E-2</v>
      </c>
    </row>
    <row r="19" spans="1:13" x14ac:dyDescent="0.3">
      <c r="A19" s="7">
        <f>Data!A19</f>
        <v>2022</v>
      </c>
      <c r="B19" s="8">
        <f>IFERROR(Data!I19*1000000/Data!J19,"")</f>
        <v>18049.52435277016</v>
      </c>
      <c r="C19" s="8">
        <f>IFERROR(Data!B19*1000000/Data!C19,"")</f>
        <v>113311.59807117931</v>
      </c>
      <c r="D19" s="8">
        <f>IFERROR(Data!D19*1000000/Data!E19,"")</f>
        <v>743492.06349206355</v>
      </c>
      <c r="E19" s="8">
        <f>IFERROR(Data!F19*1000000/Data!G19,"")</f>
        <v>242589.79425781703</v>
      </c>
      <c r="F19" s="9">
        <f>IFERROR(Data!I19/(Data!I19+Data!B19+Data!D19+Data!F19),"")</f>
        <v>0.32769600167032048</v>
      </c>
      <c r="G19" s="9">
        <f>IFERROR(Data!B19/(Data!I19+Data!B19+Data!D19+Data!F19),"")</f>
        <v>0.53625639419563631</v>
      </c>
      <c r="H19" s="9">
        <f>IFERROR(Data!D19/(Data!I19+Data!B19+Data!D19+Data!F19),"")</f>
        <v>4.8898632425096566E-2</v>
      </c>
      <c r="I19" s="9">
        <f>IFERROR(Data!F19/(Data!I19+Data!B19+Data!D19+Data!F19),"")</f>
        <v>8.7148971708946657E-2</v>
      </c>
      <c r="J19" s="9">
        <f>IFERROR((Data!I19-Data!I18)/Data!I18,"")</f>
        <v>5.6688884400457822E-2</v>
      </c>
      <c r="K19" s="9">
        <f>IFERROR((Data!B19-Data!B18)/Data!B18,"")</f>
        <v>6.1103077876471804E-2</v>
      </c>
      <c r="L19" s="9">
        <f>IFERROR((Data!D19-Data!D18)/Data!D18,"")</f>
        <v>-1.8852115626309174E-2</v>
      </c>
      <c r="M19" s="9">
        <f>IFERROR((Data!F19-Data!F18)/Data!F18,"")</f>
        <v>0.17643742953776775</v>
      </c>
    </row>
    <row r="20" spans="1:13" x14ac:dyDescent="0.3">
      <c r="A20" s="7">
        <f>Data!A20</f>
        <v>2023</v>
      </c>
      <c r="B20" s="8">
        <f>IFERROR(Data!I20*1000000/Data!J20,"")</f>
        <v>18301.47755650543</v>
      </c>
      <c r="C20" s="8">
        <f>IFERROR(Data!B20*1000000/Data!C20,"")</f>
        <v>116874.3540906878</v>
      </c>
      <c r="D20" s="8">
        <f>IFERROR(Data!D20*1000000/Data!E20,"")</f>
        <v>772981.36645962729</v>
      </c>
      <c r="E20" s="8">
        <f>IFERROR(Data!F20*1000000/Data!G20,"")</f>
        <v>204465.43963634744</v>
      </c>
      <c r="F20" s="9">
        <f>IFERROR(Data!I20/(Data!I20+Data!B20+Data!D20+Data!F20),"")</f>
        <v>0.32683851550743614</v>
      </c>
      <c r="G20" s="9">
        <f>IFERROR(Data!B20/(Data!I20+Data!B20+Data!D20+Data!F20),"")</f>
        <v>0.53485508804158766</v>
      </c>
      <c r="H20" s="9">
        <f>IFERROR(Data!D20/(Data!I20+Data!B20+Data!D20+Data!F20),"")</f>
        <v>4.8642732904688388E-2</v>
      </c>
      <c r="I20" s="9">
        <f>IFERROR(Data!F20/(Data!I20+Data!B20+Data!D20+Data!F20),"")</f>
        <v>8.9663663546287797E-2</v>
      </c>
      <c r="J20" s="9">
        <f>IFERROR((Data!I20-Data!I19)/Data!I19,"")</f>
        <v>6.5562280981204202E-2</v>
      </c>
      <c r="K20" s="9">
        <f>IFERROR((Data!B20-Data!B19)/Data!B19,"")</f>
        <v>6.5566111197632768E-2</v>
      </c>
      <c r="L20" s="9">
        <f>IFERROR((Data!D20-Data!D19)/Data!D19,"")</f>
        <v>6.2766865926558502E-2</v>
      </c>
      <c r="M20" s="9">
        <f>IFERROR((Data!F20-Data!F19)/Data!F19,"")</f>
        <v>9.9185433636799228E-2</v>
      </c>
    </row>
    <row r="21" spans="1:13" x14ac:dyDescent="0.3">
      <c r="A21" s="7">
        <f>Data!A21</f>
        <v>2024</v>
      </c>
      <c r="B21" s="8">
        <f>IFERROR(Data!I21*1000000/Data!J21,"")</f>
        <v>18746.402369464882</v>
      </c>
      <c r="C21" s="8">
        <f>IFERROR(Data!B21*1000000/Data!C21,"")</f>
        <v>120006.65571247322</v>
      </c>
      <c r="D21" s="8">
        <f>IFERROR(Data!D21*1000000/Data!E21,"")</f>
        <v>806881.58710477373</v>
      </c>
      <c r="E21" s="8">
        <f>IFERROR(Data!F21*1000000/Data!G21,"")</f>
        <v>175776.53799758747</v>
      </c>
      <c r="F21" s="9">
        <f>IFERROR(Data!I21/(Data!I21+Data!B21+Data!D21+Data!F21),"")</f>
        <v>0.33153793473633553</v>
      </c>
      <c r="G21" s="9">
        <f>IFERROR(Data!B21/(Data!I21+Data!B21+Data!D21+Data!F21),"")</f>
        <v>0.53397375386380885</v>
      </c>
      <c r="H21" s="9">
        <f>IFERROR(Data!D21/(Data!I21+Data!B21+Data!D21+Data!F21),"")</f>
        <v>4.8179613896755326E-2</v>
      </c>
      <c r="I21" s="9">
        <f>IFERROR(Data!F21/(Data!I21+Data!B21+Data!D21+Data!F21),"")</f>
        <v>8.6308697503100301E-2</v>
      </c>
      <c r="J21" s="9">
        <f>IFERROR((Data!I21-Data!I20)/Data!I20,"")</f>
        <v>7.103563740731883E-2</v>
      </c>
      <c r="K21" s="9">
        <f>IFERROR((Data!B21-Data!B20)/Data!B20,"")</f>
        <v>5.4114294066062552E-2</v>
      </c>
      <c r="L21" s="9">
        <f>IFERROR((Data!D21-Data!D20)/Data!D20,"")</f>
        <v>4.5801526717557252E-2</v>
      </c>
      <c r="M21" s="9">
        <f>IFERROR((Data!F21-Data!F20)/Data!F20,"")</f>
        <v>1.6346992153443766E-2</v>
      </c>
    </row>
    <row r="22" spans="1:13" x14ac:dyDescent="0.3">
      <c r="A22" s="7">
        <f>Data!A22</f>
        <v>2025</v>
      </c>
      <c r="B22" s="8">
        <f>IFERROR(Data!I22*1000000/Data!J22,"")</f>
        <v>19188.027117589954</v>
      </c>
      <c r="C22" s="8">
        <f>IFERROR(Data!B22*1000000/Data!C22,"")</f>
        <v>122666.57958223968</v>
      </c>
      <c r="D22" s="8">
        <f>IFERROR(Data!D22*1000000/Data!E22,"")</f>
        <v>875194.03911828622</v>
      </c>
      <c r="E22" s="8">
        <f>IFERROR(Data!F22*1000000/Data!G22,"")</f>
        <v>155132.54465632225</v>
      </c>
      <c r="F22" s="9">
        <f>IFERROR(Data!I22/(Data!I22+Data!B22+Data!D22+Data!F22),"")</f>
        <v>0.33924229074889867</v>
      </c>
      <c r="G22" s="9">
        <f>IFERROR(Data!B22/(Data!I22+Data!B22+Data!D22+Data!F22),"")</f>
        <v>0.52951541850220263</v>
      </c>
      <c r="H22" s="9">
        <f>IFERROR(Data!D22/(Data!I22+Data!B22+Data!D22+Data!F22),"")</f>
        <v>4.9674008810572684E-2</v>
      </c>
      <c r="I22" s="9">
        <f>IFERROR(Data!F22/(Data!I22+Data!B22+Data!D22+Data!F22),"")</f>
        <v>8.1568281938325993E-2</v>
      </c>
      <c r="J22" s="9">
        <f>IFERROR((Data!I22-Data!I21)/Data!I21,"")</f>
        <v>7.4810183117463153E-2</v>
      </c>
      <c r="K22" s="9">
        <f>IFERROR((Data!B22-Data!B21)/Data!B21,"")</f>
        <v>4.1630559118167008E-2</v>
      </c>
      <c r="L22" s="9">
        <f>IFERROR((Data!D22-Data!D21)/Data!D21,"")</f>
        <v>8.2981175566653867E-2</v>
      </c>
      <c r="M22" s="9">
        <f>IFERROR((Data!F22-Data!F21)/Data!F21,"")</f>
        <v>-7.2914432768603904E-3</v>
      </c>
    </row>
    <row r="25" spans="1:13" ht="15.75" customHeight="1" x14ac:dyDescent="0.3">
      <c r="A25" s="5" t="s">
        <v>27</v>
      </c>
    </row>
    <row r="26" spans="1:13" ht="15" customHeight="1" x14ac:dyDescent="0.3">
      <c r="A26" s="2" t="s">
        <v>28</v>
      </c>
    </row>
    <row r="28" spans="1:13" x14ac:dyDescent="0.3">
      <c r="A28" s="6" t="s">
        <v>2</v>
      </c>
      <c r="B28" s="6" t="s">
        <v>29</v>
      </c>
    </row>
    <row r="29" spans="1:13" x14ac:dyDescent="0.3">
      <c r="A29" s="10">
        <v>2026</v>
      </c>
      <c r="B29" s="8">
        <f>FORECAST(A29,Data!$K$5:$K$22,Data!$A$5:$A$22)</f>
        <v>60960.725490196142</v>
      </c>
    </row>
    <row r="30" spans="1:13" x14ac:dyDescent="0.3">
      <c r="A30" s="10">
        <v>2027</v>
      </c>
      <c r="B30" s="8">
        <f>FORECAST(A30,Data!$K$5:$K$22,Data!$A$5:$A$22)</f>
        <v>62747.135190918576</v>
      </c>
    </row>
    <row r="31" spans="1:13" x14ac:dyDescent="0.3">
      <c r="A31" s="10">
        <v>2028</v>
      </c>
      <c r="B31" s="8">
        <f>FORECAST(A31,Data!$K$5:$K$22,Data!$A$5:$A$22)</f>
        <v>64533.54489164101</v>
      </c>
    </row>
    <row r="32" spans="1:13" x14ac:dyDescent="0.3">
      <c r="A32" s="10">
        <v>2029</v>
      </c>
      <c r="B32" s="8">
        <f>FORECAST(A32,Data!$K$5:$K$22,Data!$A$5:$A$22)</f>
        <v>66319.954592363443</v>
      </c>
    </row>
    <row r="33" spans="1:2" x14ac:dyDescent="0.3">
      <c r="A33" s="10">
        <v>2030</v>
      </c>
      <c r="B33" s="8">
        <f>FORECAST(A33,Data!$K$5:$K$22,Data!$A$5:$A$22)</f>
        <v>68106.364293085877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1" zoomScaleNormal="100" workbookViewId="0">
      <selection activeCell="U51" sqref="U51"/>
    </sheetView>
  </sheetViews>
  <sheetFormatPr defaultColWidth="8.6640625" defaultRowHeight="14.4" x14ac:dyDescent="0.3"/>
  <sheetData>
    <row r="1" spans="1:1" ht="17.399999999999999" x14ac:dyDescent="0.3">
      <c r="A1" s="1" t="s">
        <v>30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 Koshy</cp:lastModifiedBy>
  <cp:revision>1</cp:revision>
  <dcterms:created xsi:type="dcterms:W3CDTF">2026-09-17T04:53:44Z</dcterms:created>
  <dcterms:modified xsi:type="dcterms:W3CDTF">2026-09-17T05:40:59Z</dcterms:modified>
  <dc:language>en-US</dc:language>
</cp:coreProperties>
</file>